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928b843d3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概览" sheetId="1" r:id="R0948697528fd4aec"/>
    <x:sheet xmlns:r="http://schemas.openxmlformats.org/officeDocument/2006/relationships" name="接口测试用例" sheetId="2" r:id="Rdd7925386497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</x:fills>
  <x:borders count="25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/>
    <x:xf numFmtId="0" fontId="0" fillId="0" borderId="11" xfId="0" applyNumberFormat="1" applyFont="1" applyFill="1" applyBorder="1"/>
    <x:xf numFmtId="0" fontId="0" fillId="0" borderId="7" xfId="0" applyNumberFormat="1" applyFont="1" applyFill="1" applyBorder="1"/>
    <x:xf numFmtId="0" fontId="0" fillId="0" borderId="12" xfId="0" applyNumberFormat="1" applyFont="1" applyFill="1" applyBorder="1"/>
    <x:xf numFmtId="0" fontId="0" fillId="0" borderId="9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0" fillId="4" borderId="8" xfId="0" applyNumberFormat="1" applyFont="1" applyFill="1" applyBorder="1"/>
    <x:xf numFmtId="200" fontId="0" fillId="5" borderId="5" xfId="0" applyNumberFormat="1" applyFont="1" applyFill="1" applyBorder="1"/>
    <x:xf numFmtId="200" fontId="0" fillId="5" borderId="7" xfId="0" applyNumberFormat="1" applyFont="1" applyFill="1" applyBorder="1"/>
    <x:xf numFmtId="201" fontId="0" fillId="5" borderId="9" xfId="0" applyNumberFormat="1" applyFont="1" applyFill="1" applyBorder="1"/>
    <x:xf numFmtId="200" fontId="3" fillId="5" borderId="5" xfId="0" applyNumberFormat="1" applyFont="1" applyFill="1" applyBorder="1"/>
    <x:xf numFmtId="200" fontId="3" fillId="5" borderId="7" xfId="0" applyNumberFormat="1" applyFont="1" applyFill="1" applyBorder="1"/>
    <x:xf numFmtId="201" fontId="3" fillId="5" borderId="9" xfId="0" applyNumberFormat="1" applyFont="1" applyFill="1" applyBorder="1"/>
    <x:xf numFmtId="200" fontId="3" fillId="5" borderId="5" xfId="0" applyNumberFormat="1" applyFont="1" applyFill="1" applyBorder="1" applyAlignment="1">
      <x:alignment horizontal="center"/>
    </x:xf>
    <x:xf numFmtId="200" fontId="3" fillId="5" borderId="7" xfId="0" applyNumberFormat="1" applyFont="1" applyFill="1" applyBorder="1" applyAlignment="1">
      <x:alignment horizontal="center"/>
    </x:xf>
    <x:xf numFmtId="201" fontId="3" fillId="5" borderId="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3" xfId="0" applyNumberFormat="1" applyFont="1" applyFill="1" applyBorder="1"/>
    <x:xf numFmtId="0" fontId="4" fillId="2" borderId="14" xfId="0" applyNumberFormat="1" applyFont="1" applyFill="1" applyBorder="1"/>
    <x:xf numFmtId="0" fontId="4" fillId="2" borderId="15" xfId="0" applyNumberFormat="1" applyFont="1" applyFill="1" applyBorder="1"/>
    <x:xf numFmtId="0" fontId="4" fillId="2" borderId="13" xfId="0" applyNumberFormat="1" applyFont="1" applyFill="1" applyBorder="1" applyAlignment="1">
      <x:alignment horizontal="center"/>
    </x:xf>
    <x:xf numFmtId="0" fontId="4" fillId="2" borderId="14" xfId="0" applyNumberFormat="1" applyFont="1" applyFill="1" applyBorder="1" applyAlignment="1">
      <x:alignment horizontal="center"/>
    </x:xf>
    <x:xf numFmtId="0" fontId="4" fillId="2" borderId="15" xfId="0" applyNumberFormat="1" applyFont="1" applyFill="1" applyBorder="1" applyAlignment="1">
      <x:alignment horizontal="center"/>
    </x:xf>
    <x:xf numFmtId="0" fontId="4" fillId="2" borderId="13" xfId="0" applyNumberFormat="1" applyFont="1" applyFill="1" applyBorder="1" applyAlignment="1">
      <x:alignment horizontal="center" vertical="center"/>
    </x:xf>
    <x:xf numFmtId="0" fontId="4" fillId="2" borderId="14" xfId="0" applyNumberFormat="1" applyFont="1" applyFill="1" applyBorder="1" applyAlignment="1">
      <x:alignment horizontal="center" vertical="center"/>
    </x:xf>
    <x:xf numFmtId="0" fontId="4" fillId="2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10fc79aa140c9" /><Relationship Type="http://schemas.openxmlformats.org/officeDocument/2006/relationships/theme" Target="/xl/theme/theme1.xml" Id="R07ea903f7b314e4a" /><Relationship Type="http://schemas.openxmlformats.org/officeDocument/2006/relationships/sharedStrings" Target="/xl/sharedStrings.xml" Id="R6f8fcd6096a24267" /><Relationship Type="http://schemas.openxmlformats.org/officeDocument/2006/relationships/worksheet" Target="/xl/worksheets/sheet1.xml" Id="R0948697528fd4aec" /><Relationship Type="http://schemas.openxmlformats.org/officeDocument/2006/relationships/worksheet" Target="/xl/worksheets/sheet2.xml" Id="Rdd79253864974960" /></Relationships>
</file>

<file path=xl/tables/table1.xml><?xml version="1.0" encoding="utf-8"?>
<x:table xmlns:x="http://schemas.openxmlformats.org/spreadsheetml/2006/main" id="1" name="TestCasesTable" displayName="TestCasesTable" ref="A1:J53" headerRowCount="1" totalsRowCount="0" totalsRowShown="0">
  <x:autoFilter ref="A1:J53"/>
  <x:tableColumns count="10">
    <x:tableColumn id="1" name="编号"/>
    <x:tableColumn id="2" name="模块"/>
    <x:tableColumn id="3" name="用例名称"/>
    <x:tableColumn id="4" name="请求方法"/>
    <x:tableColumn id="5" name="接口/操作"/>
    <x:tableColumn id="6" name="前置条件"/>
    <x:tableColumn id="7" name="请求数据/参数"/>
    <x:tableColumn id="8" name="预期结果"/>
    <x:tableColumn id="9" name="实际结果"/>
    <x:tableColumn id="10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923503a35a4c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24" hidden="0" customWidth="1"/>
    <x:col min="5" max="5" width="14" hidden="0" customWidth="1"/>
    <x:col min="6" max="6" width="32" hidden="0" customWidth="1"/>
  </x:cols>
  <x:sheetData>
    <x:row r="1" ht="32" customHeight="1">
      <x:c r="A1" s="4" t="str">
        <x:v>智慧图书馆管理系统 · 自动化测试概览</x:v>
      </x:c>
      <x:c r="B1" s="4"/>
      <x:c r="C1" s="4"/>
      <x:c r="D1" s="4"/>
      <x:c r="E1" s="4"/>
      <x:c r="F1" s="4"/>
    </x:row>
    <x:row r="3">
      <x:c r="A3" s="13" t="str">
        <x:v>指标</x:v>
      </x:c>
      <x:c r="B3" s="14" t="str">
        <x:v>结果</x:v>
      </x:c>
      <x:c r="D3" s="13" t="str">
        <x:v>测试资产</x:v>
      </x:c>
      <x:c r="E3" s="17" t="str">
        <x:v>数量</x:v>
      </x:c>
      <x:c r="F3" s="14" t="str">
        <x:v>说明</x:v>
      </x:c>
    </x:row>
    <x:row r="4">
      <x:c r="A4" s="30" t="str">
        <x:v>测试用例总数</x:v>
      </x:c>
      <x:c r="B4" s="39" t="n">
        <x:f>COUNTA('接口测试用例'!$A$2:$A$100)</x:f>
        <x:v>52</x:v>
      </x:c>
      <x:c r="D4" s="18" t="str">
        <x:v>主 Collection</x:v>
      </x:c>
      <x:c r="E4" s="24" t="n">
        <x:v>48</x:v>
      </x:c>
      <x:c r="F4" s="25" t="str">
        <x:v>完整接口与业务闭环</x:v>
      </x:c>
    </x:row>
    <x:row r="5">
      <x:c r="A5" s="31" t="str">
        <x:v>通过数</x:v>
      </x:c>
      <x:c r="B5" s="40" t="n">
        <x:f>COUNTIF('接口测试用例'!$J$2:$J$100,"PASS")</x:f>
        <x:v>52</x:v>
      </x:c>
      <x:c r="D5" s="20" t="str">
        <x:v>回归 Collection</x:v>
      </x:c>
      <x:c r="E5" s="26" t="n">
        <x:v>11</x:v>
      </x:c>
      <x:c r="F5" s="27" t="str">
        <x:v>关键契约快速检查</x:v>
      </x:c>
    </x:row>
    <x:row r="6">
      <x:c r="A6" s="31" t="str">
        <x:v>失败数</x:v>
      </x:c>
      <x:c r="B6" s="40" t="n">
        <x:f>COUNTIF('接口测试用例'!$J$2:$J$100,"FAIL")</x:f>
        <x:v>0</x:v>
      </x:c>
      <x:c r="D6" s="20" t="str">
        <x:v>清理 Collection</x:v>
      </x:c>
      <x:c r="E6" s="26" t="n">
        <x:v>6</x:v>
      </x:c>
      <x:c r="F6" s="27" t="str">
        <x:v>含 2 个登录准备请求</x:v>
      </x:c>
    </x:row>
    <x:row r="7">
      <x:c r="A7" s="32" t="str">
        <x:v>通过率</x:v>
      </x:c>
      <x:c r="B7" s="41" t="n">
        <x:f>IF(B4=0,0,B5/B4)</x:f>
        <x:v>1</x:v>
      </x:c>
      <x:c r="D7" s="22" t="str">
        <x:v>单元测试</x:v>
      </x:c>
      <x:c r="E7" s="28" t="n">
        <x:v>33</x:v>
      </x:c>
      <x:c r="F7" s="29" t="str">
        <x:v>JUnit 5 + Mockito，全部通过</x:v>
      </x:c>
    </x:row>
    <x:row r="9">
      <x:c r="A9" s="44" t="str">
        <x:v>执行信息</x:v>
      </x:c>
      <x:c r="B9" s="44"/>
      <x:c r="C9" s="44"/>
      <x:c r="D9" s="44"/>
      <x:c r="E9" s="44"/>
      <x:c r="F9" s="44"/>
    </x:row>
    <x:row r="10" ht="30" customHeight="1">
      <x:c r="A10" s="55" t="str">
        <x:v>测试日期</x:v>
      </x:c>
      <x:c r="B10" s="56" t="str">
        <x:v>2026-08-27</x:v>
      </x:c>
      <x:c r="C10" s="56" t="str">
        <x:v>基础地址</x:v>
      </x:c>
      <x:c r="D10" s="56" t="str">
        <x:v>http://localhost:8080</x:v>
      </x:c>
      <x:c r="E10" s="56" t="str">
        <x:v>执行工具</x:v>
      </x:c>
      <x:c r="F10" s="57" t="str">
        <x:v>Postman / Newman</x:v>
      </x:c>
    </x:row>
    <x:row r="11" ht="30" customHeight="1">
      <x:c r="A11" s="58" t="str">
        <x:v>接口结果</x:v>
      </x:c>
      <x:c r="B11" s="59" t="str">
        <x:v>48 请求 / 50 断言 / 0 失败</x:v>
      </x:c>
      <x:c r="C11" s="59" t="str">
        <x:v>平均响应</x:v>
      </x:c>
      <x:c r="D11" s="59" t="str">
        <x:v>30 ms</x:v>
      </x:c>
      <x:c r="E11" s="59" t="str">
        <x:v>单元测试</x:v>
      </x:c>
      <x:c r="F11" s="60" t="str">
        <x:v>33/33 通过</x:v>
      </x:c>
    </x:row>
    <x:row r="12" ht="44" customHeight="1">
      <x:c r="A12" s="61" t="str">
        <x:v>说明</x:v>
      </x:c>
      <x:c r="B12" s="62" t="str">
        <x:v>密码变量已清空，导入 Collection 后在本地填写；测试数据仅在测试环境按精确 ID 清理。</x:v>
      </x:c>
      <x:c r="C12" s="62"/>
      <x:c r="D12" s="62"/>
      <x:c r="E12" s="62"/>
      <x:c r="F12" s="63"/>
    </x:row>
  </x:sheetData>
  <x:mergeCells>
    <x:mergeCell ref="A1:F1"/>
    <x:mergeCell ref="A9:F9"/>
    <x:mergeCell ref="B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2" hidden="0" customWidth="1"/>
    <x:col min="5" max="5" width="48" hidden="0" customWidth="1"/>
    <x:col min="6" max="6" width="28" hidden="0" customWidth="1"/>
    <x:col min="7" max="7" width="46" hidden="0" customWidth="1"/>
    <x:col min="8" max="8" width="48" hidden="0" customWidth="1"/>
    <x:col min="9" max="9" width="18" hidden="0" customWidth="1"/>
    <x:col min="10" max="10" width="12" hidden="0" customWidth="1"/>
  </x:cols>
  <x:sheetData>
    <x:row r="1" ht="30" customHeight="1">
      <x:c r="A1" s="71" t="str">
        <x:v>编号</x:v>
      </x:c>
      <x:c r="B1" s="72" t="str">
        <x:v>模块</x:v>
      </x:c>
      <x:c r="C1" s="72" t="str">
        <x:v>用例名称</x:v>
      </x:c>
      <x:c r="D1" s="72" t="str">
        <x:v>请求方法</x:v>
      </x:c>
      <x:c r="E1" s="72" t="str">
        <x:v>接口/操作</x:v>
      </x:c>
      <x:c r="F1" s="72" t="str">
        <x:v>前置条件</x:v>
      </x:c>
      <x:c r="G1" s="72" t="str">
        <x:v>请求数据/参数</x:v>
      </x:c>
      <x:c r="H1" s="72" t="str">
        <x:v>预期结果</x:v>
      </x:c>
      <x:c r="I1" s="72" t="str">
        <x:v>实际结果</x:v>
      </x:c>
      <x:c r="J1" s="73" t="str">
        <x:v>状态</x:v>
      </x:c>
    </x:row>
    <x:row r="2" ht="42" customHeight="1">
      <x:c r="A2" s="101" t="str">
        <x:v>TC-PUB-001</x:v>
      </x:c>
      <x:c r="B2" s="102" t="str">
        <x:v>公开接口</x:v>
      </x:c>
      <x:c r="C2" s="93" t="str">
        <x:v>图书分页列表</x:v>
      </x:c>
      <x:c r="D2" s="102" t="str">
        <x:v>GET</x:v>
      </x:c>
      <x:c r="E2" s="93" t="str">
        <x:v>{{baseUrl}}/api/books?page=1&amp;size=10</x:v>
      </x:c>
      <x:c r="F2" s="93" t="str">
        <x:v>后端已启动</x:v>
      </x:c>
      <x:c r="G2" s="93" t="str">
        <x:v>无</x:v>
      </x:c>
      <x:c r="H2" s="93" t="str">
        <x:v>HTTP 200；统一响应成功且列表非空</x:v>
      </x:c>
      <x:c r="I2" s="102" t="str">
        <x:v>与预期一致</x:v>
      </x:c>
      <x:c r="J2" s="107" t="str">
        <x:v>PASS</x:v>
      </x:c>
    </x:row>
    <x:row r="3" ht="42" customHeight="1">
      <x:c r="A3" s="103" t="str">
        <x:v>TC-PUB-002</x:v>
      </x:c>
      <x:c r="B3" s="104" t="str">
        <x:v>公开接口</x:v>
      </x:c>
      <x:c r="C3" s="96" t="str">
        <x:v>图书关键字搜索</x:v>
      </x:c>
      <x:c r="D3" s="104" t="str">
        <x:v>GET</x:v>
      </x:c>
      <x:c r="E3" s="96" t="str">
        <x:v>{{baseUrl}}/api/books?keyword=Java&amp;page=1&amp;size=10</x:v>
      </x:c>
      <x:c r="F3" s="96" t="str">
        <x:v>后端已启动</x:v>
      </x:c>
      <x:c r="G3" s="96" t="str">
        <x:v>无</x:v>
      </x:c>
      <x:c r="H3" s="96" t="str">
        <x:v>HTTP 200 且返回分页结构</x:v>
      </x:c>
      <x:c r="I3" s="104" t="str">
        <x:v>与预期一致</x:v>
      </x:c>
      <x:c r="J3" s="108" t="str">
        <x:v>PASS</x:v>
      </x:c>
    </x:row>
    <x:row r="4" ht="42" customHeight="1">
      <x:c r="A4" s="103" t="str">
        <x:v>TC-PUB-003</x:v>
      </x:c>
      <x:c r="B4" s="104" t="str">
        <x:v>公开接口</x:v>
      </x:c>
      <x:c r="C4" s="96" t="str">
        <x:v>图书详情</x:v>
      </x:c>
      <x:c r="D4" s="104" t="str">
        <x:v>GET</x:v>
      </x:c>
      <x:c r="E4" s="96" t="str">
        <x:v>{{baseUrl}}/api/books/{{existingBookId}}</x:v>
      </x:c>
      <x:c r="F4" s="96" t="str">
        <x:v>后端已启动</x:v>
      </x:c>
      <x:c r="G4" s="96" t="str">
        <x:v>无</x:v>
      </x:c>
      <x:c r="H4" s="96" t="str">
        <x:v>HTTP 200 且 ID 一致</x:v>
      </x:c>
      <x:c r="I4" s="104" t="str">
        <x:v>与预期一致</x:v>
      </x:c>
      <x:c r="J4" s="108" t="str">
        <x:v>PASS</x:v>
      </x:c>
    </x:row>
    <x:row r="5" ht="42" customHeight="1">
      <x:c r="A5" s="103" t="str">
        <x:v>TC-PUB-004</x:v>
      </x:c>
      <x:c r="B5" s="104" t="str">
        <x:v>公开接口</x:v>
      </x:c>
      <x:c r="C5" s="96" t="str">
        <x:v>新书推荐</x:v>
      </x:c>
      <x:c r="D5" s="104" t="str">
        <x:v>GET</x:v>
      </x:c>
      <x:c r="E5" s="96" t="str">
        <x:v>{{baseUrl}}/api/books/new-arrivals?days=3650&amp;limit=5</x:v>
      </x:c>
      <x:c r="F5" s="96" t="str">
        <x:v>后端已启动</x:v>
      </x:c>
      <x:c r="G5" s="96" t="str">
        <x:v>无</x:v>
      </x:c>
      <x:c r="H5" s="96" t="str">
        <x:v>HTTP 200 且 data 为数组</x:v>
      </x:c>
      <x:c r="I5" s="104" t="str">
        <x:v>与预期一致</x:v>
      </x:c>
      <x:c r="J5" s="108" t="str">
        <x:v>PASS</x:v>
      </x:c>
    </x:row>
    <x:row r="6" ht="42" customHeight="1">
      <x:c r="A6" s="103" t="str">
        <x:v>TC-PUB-005</x:v>
      </x:c>
      <x:c r="B6" s="104" t="str">
        <x:v>公开接口</x:v>
      </x:c>
      <x:c r="C6" s="96" t="str">
        <x:v>热门图书</x:v>
      </x:c>
      <x:c r="D6" s="104" t="str">
        <x:v>GET</x:v>
      </x:c>
      <x:c r="E6" s="96" t="str">
        <x:v>{{baseUrl}}/api/books/popular?limit=5</x:v>
      </x:c>
      <x:c r="F6" s="96" t="str">
        <x:v>后端已启动</x:v>
      </x:c>
      <x:c r="G6" s="96" t="str">
        <x:v>无</x:v>
      </x:c>
      <x:c r="H6" s="96" t="str">
        <x:v>HTTP 200 且 data 为数组</x:v>
      </x:c>
      <x:c r="I6" s="104" t="str">
        <x:v>与预期一致</x:v>
      </x:c>
      <x:c r="J6" s="108" t="str">
        <x:v>PASS</x:v>
      </x:c>
    </x:row>
    <x:row r="7" ht="42" customHeight="1">
      <x:c r="A7" s="103" t="str">
        <x:v>TC-PUB-006</x:v>
      </x:c>
      <x:c r="B7" s="104" t="str">
        <x:v>公开接口</x:v>
      </x:c>
      <x:c r="C7" s="96" t="str">
        <x:v>分类树</x:v>
      </x:c>
      <x:c r="D7" s="104" t="str">
        <x:v>GET</x:v>
      </x:c>
      <x:c r="E7" s="96" t="str">
        <x:v>{{baseUrl}}/api/categories/tree</x:v>
      </x:c>
      <x:c r="F7" s="96" t="str">
        <x:v>后端已启动</x:v>
      </x:c>
      <x:c r="G7" s="96" t="str">
        <x:v>无</x:v>
      </x:c>
      <x:c r="H7" s="96" t="str">
        <x:v>HTTP 200 且分类非空</x:v>
      </x:c>
      <x:c r="I7" s="104" t="str">
        <x:v>与预期一致</x:v>
      </x:c>
      <x:c r="J7" s="108" t="str">
        <x:v>PASS</x:v>
      </x:c>
    </x:row>
    <x:row r="8" ht="42" customHeight="1">
      <x:c r="A8" s="103" t="str">
        <x:v>TC-PUB-007</x:v>
      </x:c>
      <x:c r="B8" s="104" t="str">
        <x:v>公开接口</x:v>
      </x:c>
      <x:c r="C8" s="96" t="str">
        <x:v>未登录访问公告受限</x:v>
      </x:c>
      <x:c r="D8" s="104" t="str">
        <x:v>GET</x:v>
      </x:c>
      <x:c r="E8" s="96" t="str">
        <x:v>{{baseUrl}}/api/announcements/published?page=1&amp;size=10</x:v>
      </x:c>
      <x:c r="F8" s="96" t="str">
        <x:v>后端已启动；测试账号存在</x:v>
      </x:c>
      <x:c r="G8" s="96" t="str">
        <x:v>无</x:v>
      </x:c>
      <x:c r="H8" s="96" t="str">
        <x:v>未登录访问公告返回 401</x:v>
      </x:c>
      <x:c r="I8" s="104" t="str">
        <x:v>与预期一致</x:v>
      </x:c>
      <x:c r="J8" s="108" t="str">
        <x:v>PASS</x:v>
      </x:c>
    </x:row>
    <x:row r="9" ht="42" customHeight="1">
      <x:c r="A9" s="103" t="str">
        <x:v>TC-PUB-008</x:v>
      </x:c>
      <x:c r="B9" s="104" t="str">
        <x:v>公开接口</x:v>
      </x:c>
      <x:c r="C9" s="96" t="str">
        <x:v>未登录访问最新评论受限</x:v>
      </x:c>
      <x:c r="D9" s="104" t="str">
        <x:v>GET</x:v>
      </x:c>
      <x:c r="E9" s="96" t="str">
        <x:v>{{baseUrl}}/api/reviews/latest?limit=6</x:v>
      </x:c>
      <x:c r="F9" s="96" t="str">
        <x:v>后端已启动；测试账号存在</x:v>
      </x:c>
      <x:c r="G9" s="96" t="str">
        <x:v>无</x:v>
      </x:c>
      <x:c r="H9" s="96" t="str">
        <x:v>未登录访问最新评论返回 401</x:v>
      </x:c>
      <x:c r="I9" s="104" t="str">
        <x:v>与预期一致</x:v>
      </x:c>
      <x:c r="J9" s="108" t="str">
        <x:v>PASS</x:v>
      </x:c>
    </x:row>
    <x:row r="10" ht="42" customHeight="1">
      <x:c r="A10" s="103" t="str">
        <x:v>TC-PUB-009</x:v>
      </x:c>
      <x:c r="B10" s="104" t="str">
        <x:v>公开接口</x:v>
      </x:c>
      <x:c r="C10" s="96" t="str">
        <x:v>动态封面生成</x:v>
      </x:c>
      <x:c r="D10" s="104" t="str">
        <x:v>GET</x:v>
      </x:c>
      <x:c r="E10" s="96" t="str">
        <x:v>{{baseUrl}}/api/covers/generate?title=PostmanTest&amp;author=Codex</x:v>
      </x:c>
      <x:c r="F10" s="96" t="str">
        <x:v>后端已启动</x:v>
      </x:c>
      <x:c r="G10" s="96" t="str">
        <x:v>无</x:v>
      </x:c>
      <x:c r="H10" s="96" t="str">
        <x:v>HTTP 200 且返回 SVG</x:v>
      </x:c>
      <x:c r="I10" s="104" t="str">
        <x:v>与预期一致</x:v>
      </x:c>
      <x:c r="J10" s="108" t="str">
        <x:v>PASS</x:v>
      </x:c>
    </x:row>
    <x:row r="11" ht="42" customHeight="1">
      <x:c r="A11" s="103" t="str">
        <x:v>TC-AUTH-001</x:v>
      </x:c>
      <x:c r="B11" s="104" t="str">
        <x:v>认证与权限</x:v>
      </x:c>
      <x:c r="C11" s="96" t="str">
        <x:v>管理员登录</x:v>
      </x:c>
      <x:c r="D11" s="104" t="str">
        <x:v>POST</x:v>
      </x:c>
      <x:c r="E11" s="96" t="str">
        <x:v>{{baseUrl}}/api/auth/login</x:v>
      </x:c>
      <x:c r="F11" s="96" t="str">
        <x:v>后端已启动；测试账号存在</x:v>
      </x:c>
      <x:c r="G11" s="96" t="str">
        <x:v>{ "username": "{{adminUsername}}", "password": "{{adminPassword}}" }</x:v>
      </x:c>
      <x:c r="H11" s="96" t="str">
        <x:v>管理员登录成功</x:v>
      </x:c>
      <x:c r="I11" s="104" t="str">
        <x:v>与预期一致</x:v>
      </x:c>
      <x:c r="J11" s="108" t="str">
        <x:v>PASS</x:v>
      </x:c>
    </x:row>
    <x:row r="12" ht="42" customHeight="1">
      <x:c r="A12" s="103" t="str">
        <x:v>TC-AUTH-002</x:v>
      </x:c>
      <x:c r="B12" s="104" t="str">
        <x:v>认证与权限</x:v>
      </x:c>
      <x:c r="C12" s="96" t="str">
        <x:v>普通用户 user1 登录</x:v>
      </x:c>
      <x:c r="D12" s="104" t="str">
        <x:v>POST</x:v>
      </x:c>
      <x:c r="E12" s="96" t="str">
        <x:v>{{baseUrl}}/api/auth/login</x:v>
      </x:c>
      <x:c r="F12" s="96" t="str">
        <x:v>后端已启动；测试账号存在</x:v>
      </x:c>
      <x:c r="G12" s="96" t="str">
        <x:v>{ "username": "{{userUsername}}", "password": "{{userPassword}}" }</x:v>
      </x:c>
      <x:c r="H12" s="96" t="str">
        <x:v>user1 登录成功</x:v>
      </x:c>
      <x:c r="I12" s="104" t="str">
        <x:v>与预期一致</x:v>
      </x:c>
      <x:c r="J12" s="108" t="str">
        <x:v>PASS</x:v>
      </x:c>
    </x:row>
    <x:row r="13" ht="42" customHeight="1">
      <x:c r="A13" s="103" t="str">
        <x:v>TC-AUTH-003</x:v>
      </x:c>
      <x:c r="B13" s="104" t="str">
        <x:v>认证与权限</x:v>
      </x:c>
      <x:c r="C13" s="96" t="str">
        <x:v>普通用户 kerry 登录</x:v>
      </x:c>
      <x:c r="D13" s="104" t="str">
        <x:v>POST</x:v>
      </x:c>
      <x:c r="E13" s="96" t="str">
        <x:v>{{baseUrl}}/api/auth/login</x:v>
      </x:c>
      <x:c r="F13" s="96" t="str">
        <x:v>后端已启动；测试账号存在</x:v>
      </x:c>
      <x:c r="G13" s="96" t="str">
        <x:v>{ "username": "{{secondUserUsername}}", "password": "{{secondUserPassword}}" }</x:v>
      </x:c>
      <x:c r="H13" s="96" t="str">
        <x:v>kerry 登录成功</x:v>
      </x:c>
      <x:c r="I13" s="104" t="str">
        <x:v>与预期一致</x:v>
      </x:c>
      <x:c r="J13" s="108" t="str">
        <x:v>PASS</x:v>
      </x:c>
    </x:row>
    <x:row r="14" ht="42" customHeight="1">
      <x:c r="A14" s="103" t="str">
        <x:v>TC-AUTH-004</x:v>
      </x:c>
      <x:c r="B14" s="104" t="str">
        <x:v>认证与权限</x:v>
      </x:c>
      <x:c r="C14" s="96" t="str">
        <x:v>错误密码被拒绝</x:v>
      </x:c>
      <x:c r="D14" s="104" t="str">
        <x:v>POST</x:v>
      </x:c>
      <x:c r="E14" s="96" t="str">
        <x:v>{{baseUrl}}/api/auth/login</x:v>
      </x:c>
      <x:c r="F14" s="96" t="str">
        <x:v>后端已启动</x:v>
      </x:c>
      <x:c r="G14" s="96" t="str">
        <x:v>{ "username": "admin", "password": "wrong-password" }</x:v>
      </x:c>
      <x:c r="H14" s="96" t="str">
        <x:v>错误密码返回业务错误</x:v>
      </x:c>
      <x:c r="I14" s="104" t="str">
        <x:v>与预期一致</x:v>
      </x:c>
      <x:c r="J14" s="108" t="str">
        <x:v>PASS</x:v>
      </x:c>
    </x:row>
    <x:row r="15" ht="42" customHeight="1">
      <x:c r="A15" s="103" t="str">
        <x:v>TC-AUTH-005</x:v>
      </x:c>
      <x:c r="B15" s="104" t="str">
        <x:v>认证与权限</x:v>
      </x:c>
      <x:c r="C15" s="96" t="str">
        <x:v>未登录访问受保护接口</x:v>
      </x:c>
      <x:c r="D15" s="104" t="str">
        <x:v>GET</x:v>
      </x:c>
      <x:c r="E15" s="96" t="str">
        <x:v>{{baseUrl}}/api/borrows/my?page=1&amp;size=10</x:v>
      </x:c>
      <x:c r="F15" s="96" t="str">
        <x:v>后端已启动；测试账号存在</x:v>
      </x:c>
      <x:c r="G15" s="96" t="str">
        <x:v>无</x:v>
      </x:c>
      <x:c r="H15" s="96" t="str">
        <x:v>未登录返回 401</x:v>
      </x:c>
      <x:c r="I15" s="104" t="str">
        <x:v>与预期一致</x:v>
      </x:c>
      <x:c r="J15" s="108" t="str">
        <x:v>PASS</x:v>
      </x:c>
    </x:row>
    <x:row r="16" ht="42" customHeight="1">
      <x:c r="A16" s="103" t="str">
        <x:v>TC-AUTH-006</x:v>
      </x:c>
      <x:c r="B16" s="104" t="str">
        <x:v>认证与权限</x:v>
      </x:c>
      <x:c r="C16" s="96" t="str">
        <x:v>用户越权访问人员管理</x:v>
      </x:c>
      <x:c r="D16" s="104" t="str">
        <x:v>GET</x:v>
      </x:c>
      <x:c r="E16" s="96" t="str">
        <x:v>{{baseUrl}}/api/users?page=1&amp;size=10</x:v>
      </x:c>
      <x:c r="F16" s="96" t="str">
        <x:v>后端已启动；user1 已登录</x:v>
      </x:c>
      <x:c r="G16" s="96" t="str">
        <x:v>无</x:v>
      </x:c>
      <x:c r="H16" s="96" t="str">
        <x:v>普通用户越权返回 403</x:v>
      </x:c>
      <x:c r="I16" s="104" t="str">
        <x:v>与预期一致</x:v>
      </x:c>
      <x:c r="J16" s="108" t="str">
        <x:v>PASS</x:v>
      </x:c>
    </x:row>
    <x:row r="17" ht="42" customHeight="1">
      <x:c r="A17" s="103" t="str">
        <x:v>TC-AUTH-007</x:v>
      </x:c>
      <x:c r="B17" s="104" t="str">
        <x:v>认证与权限</x:v>
      </x:c>
      <x:c r="C17" s="96" t="str">
        <x:v>获取当前用户</x:v>
      </x:c>
      <x:c r="D17" s="104" t="str">
        <x:v>GET</x:v>
      </x:c>
      <x:c r="E17" s="96" t="str">
        <x:v>{{baseUrl}}/api/auth/me</x:v>
      </x:c>
      <x:c r="F17" s="96" t="str">
        <x:v>后端已启动；user1 已登录</x:v>
      </x:c>
      <x:c r="G17" s="96" t="str">
        <x:v>无</x:v>
      </x:c>
      <x:c r="H17" s="96" t="str">
        <x:v>当前用户为 user1</x:v>
      </x:c>
      <x:c r="I17" s="104" t="str">
        <x:v>与预期一致</x:v>
      </x:c>
      <x:c r="J17" s="108" t="str">
        <x:v>PASS</x:v>
      </x:c>
    </x:row>
    <x:row r="18" ht="42" customHeight="1">
      <x:c r="A18" s="103" t="str">
        <x:v>TC-AUTH-008</x:v>
      </x:c>
      <x:c r="B18" s="104" t="str">
        <x:v>认证与权限</x:v>
      </x:c>
      <x:c r="C18" s="96" t="str">
        <x:v>注册参数校验</x:v>
      </x:c>
      <x:c r="D18" s="104" t="str">
        <x:v>POST</x:v>
      </x:c>
      <x:c r="E18" s="96" t="str">
        <x:v>{{baseUrl}}/api/auth/register</x:v>
      </x:c>
      <x:c r="F18" s="96" t="str">
        <x:v>后端已启动</x:v>
      </x:c>
      <x:c r="G18" s="96" t="str">
        <x:v>{ "username": "1bad", "password": "123", "email": "not-an-email" }</x:v>
      </x:c>
      <x:c r="H18" s="96" t="str">
        <x:v>非法注册参数返回 400</x:v>
      </x:c>
      <x:c r="I18" s="104" t="str">
        <x:v>与预期一致</x:v>
      </x:c>
      <x:c r="J18" s="108" t="str">
        <x:v>PASS</x:v>
      </x:c>
    </x:row>
    <x:row r="19" ht="42" customHeight="1">
      <x:c r="A19" s="103" t="str">
        <x:v>TC-ADM-001</x:v>
      </x:c>
      <x:c r="B19" s="104" t="str">
        <x:v>管理端查询</x:v>
      </x:c>
      <x:c r="C19" s="96" t="str">
        <x:v>用户分页</x:v>
      </x:c>
      <x:c r="D19" s="104" t="str">
        <x:v>GET</x:v>
      </x:c>
      <x:c r="E19" s="96" t="str">
        <x:v>{{baseUrl}}/api/users?page=1&amp;size=10</x:v>
      </x:c>
      <x:c r="F19" s="96" t="str">
        <x:v>后端已启动；管理员已登录</x:v>
      </x:c>
      <x:c r="G19" s="96" t="str">
        <x:v>无</x:v>
      </x:c>
      <x:c r="H19" s="96" t="str">
        <x:v>管理员可查询用户</x:v>
      </x:c>
      <x:c r="I19" s="104" t="str">
        <x:v>与预期一致</x:v>
      </x:c>
      <x:c r="J19" s="108" t="str">
        <x:v>PASS</x:v>
      </x:c>
    </x:row>
    <x:row r="20" ht="42" customHeight="1">
      <x:c r="A20" s="103" t="str">
        <x:v>TC-ADM-002</x:v>
      </x:c>
      <x:c r="B20" s="104" t="str">
        <x:v>管理端查询</x:v>
      </x:c>
      <x:c r="C20" s="96" t="str">
        <x:v>待审核用户</x:v>
      </x:c>
      <x:c r="D20" s="104" t="str">
        <x:v>GET</x:v>
      </x:c>
      <x:c r="E20" s="96" t="str">
        <x:v>{{baseUrl}}/api/users/pending?page=1&amp;size=10</x:v>
      </x:c>
      <x:c r="F20" s="96" t="str">
        <x:v>后端已启动；管理员已登录</x:v>
      </x:c>
      <x:c r="G20" s="96" t="str">
        <x:v>无</x:v>
      </x:c>
      <x:c r="H20" s="96" t="str">
        <x:v>待审核用户接口成功</x:v>
      </x:c>
      <x:c r="I20" s="104" t="str">
        <x:v>与预期一致</x:v>
      </x:c>
      <x:c r="J20" s="108" t="str">
        <x:v>PASS</x:v>
      </x:c>
    </x:row>
    <x:row r="21" ht="42" customHeight="1">
      <x:c r="A21" s="103" t="str">
        <x:v>TC-ADM-003</x:v>
      </x:c>
      <x:c r="B21" s="104" t="str">
        <x:v>管理端查询</x:v>
      </x:c>
      <x:c r="C21" s="96" t="str">
        <x:v>借阅记录分页</x:v>
      </x:c>
      <x:c r="D21" s="104" t="str">
        <x:v>GET</x:v>
      </x:c>
      <x:c r="E21" s="96" t="str">
        <x:v>{{baseUrl}}/api/borrows?page=1&amp;size=10</x:v>
      </x:c>
      <x:c r="F21" s="96" t="str">
        <x:v>后端已启动；管理员已登录</x:v>
      </x:c>
      <x:c r="G21" s="96" t="str">
        <x:v>无</x:v>
      </x:c>
      <x:c r="H21" s="96" t="str">
        <x:v>借阅记录接口成功</x:v>
      </x:c>
      <x:c r="I21" s="104" t="str">
        <x:v>与预期一致</x:v>
      </x:c>
      <x:c r="J21" s="108" t="str">
        <x:v>PASS</x:v>
      </x:c>
    </x:row>
    <x:row r="22" ht="42" customHeight="1">
      <x:c r="A22" s="103" t="str">
        <x:v>TC-ADM-004</x:v>
      </x:c>
      <x:c r="B22" s="104" t="str">
        <x:v>管理端查询</x:v>
      </x:c>
      <x:c r="C22" s="96" t="str">
        <x:v>基础统计</x:v>
      </x:c>
      <x:c r="D22" s="104" t="str">
        <x:v>GET</x:v>
      </x:c>
      <x:c r="E22" s="96" t="str">
        <x:v>{{baseUrl}}/api/statistics</x:v>
      </x:c>
      <x:c r="F22" s="96" t="str">
        <x:v>后端已启动；管理员已登录</x:v>
      </x:c>
      <x:c r="G22" s="96" t="str">
        <x:v>无</x:v>
      </x:c>
      <x:c r="H22" s="96" t="str">
        <x:v>基础统计成功</x:v>
      </x:c>
      <x:c r="I22" s="104" t="str">
        <x:v>与预期一致</x:v>
      </x:c>
      <x:c r="J22" s="108" t="str">
        <x:v>PASS</x:v>
      </x:c>
    </x:row>
    <x:row r="23" ht="42" customHeight="1">
      <x:c r="A23" s="103" t="str">
        <x:v>TC-ADM-005</x:v>
      </x:c>
      <x:c r="B23" s="104" t="str">
        <x:v>管理端查询</x:v>
      </x:c>
      <x:c r="C23" s="96" t="str">
        <x:v>仪表盘统计</x:v>
      </x:c>
      <x:c r="D23" s="104" t="str">
        <x:v>GET</x:v>
      </x:c>
      <x:c r="E23" s="96" t="str">
        <x:v>{{baseUrl}}/api/statistics/dashboard</x:v>
      </x:c>
      <x:c r="F23" s="96" t="str">
        <x:v>后端已启动；管理员已登录</x:v>
      </x:c>
      <x:c r="G23" s="96" t="str">
        <x:v>无</x:v>
      </x:c>
      <x:c r="H23" s="96" t="str">
        <x:v>仪表盘统计成功</x:v>
      </x:c>
      <x:c r="I23" s="104" t="str">
        <x:v>与预期一致</x:v>
      </x:c>
      <x:c r="J23" s="108" t="str">
        <x:v>PASS</x:v>
      </x:c>
    </x:row>
    <x:row r="24" ht="42" customHeight="1">
      <x:c r="A24" s="103" t="str">
        <x:v>TC-ADM-006</x:v>
      </x:c>
      <x:c r="B24" s="104" t="str">
        <x:v>管理端查询</x:v>
      </x:c>
      <x:c r="C24" s="96" t="str">
        <x:v>高级统计</x:v>
      </x:c>
      <x:c r="D24" s="104" t="str">
        <x:v>GET</x:v>
      </x:c>
      <x:c r="E24" s="96" t="str">
        <x:v>{{baseUrl}}/api/statistics/advanced?dimension=all&amp;limit=10</x:v>
      </x:c>
      <x:c r="F24" s="96" t="str">
        <x:v>后端已启动；管理员已登录</x:v>
      </x:c>
      <x:c r="G24" s="96" t="str">
        <x:v>无</x:v>
      </x:c>
      <x:c r="H24" s="96" t="str">
        <x:v>高级统计成功</x:v>
      </x:c>
      <x:c r="I24" s="104" t="str">
        <x:v>与预期一致</x:v>
      </x:c>
      <x:c r="J24" s="108" t="str">
        <x:v>PASS</x:v>
      </x:c>
    </x:row>
    <x:row r="25" ht="42" customHeight="1">
      <x:c r="A25" s="103" t="str">
        <x:v>TC-ADM-007</x:v>
      </x:c>
      <x:c r="B25" s="104" t="str">
        <x:v>管理端查询</x:v>
      </x:c>
      <x:c r="C25" s="96" t="str">
        <x:v>罚款规则</x:v>
      </x:c>
      <x:c r="D25" s="104" t="str">
        <x:v>GET</x:v>
      </x:c>
      <x:c r="E25" s="96" t="str">
        <x:v>{{baseUrl}}/api/config/fine-rules</x:v>
      </x:c>
      <x:c r="F25" s="96" t="str">
        <x:v>后端已启动；管理员已登录</x:v>
      </x:c>
      <x:c r="G25" s="96" t="str">
        <x:v>无</x:v>
      </x:c>
      <x:c r="H25" s="96" t="str">
        <x:v>罚款规则成功</x:v>
      </x:c>
      <x:c r="I25" s="104" t="str">
        <x:v>与预期一致</x:v>
      </x:c>
      <x:c r="J25" s="108" t="str">
        <x:v>PASS</x:v>
      </x:c>
    </x:row>
    <x:row r="26" ht="42" customHeight="1">
      <x:c r="A26" s="103" t="str">
        <x:v>TC-ADM-008</x:v>
      </x:c>
      <x:c r="B26" s="104" t="str">
        <x:v>管理端查询</x:v>
      </x:c>
      <x:c r="C26" s="96" t="str">
        <x:v>罚款记录与统计</x:v>
      </x:c>
      <x:c r="D26" s="104" t="str">
        <x:v>GET</x:v>
      </x:c>
      <x:c r="E26" s="96" t="str">
        <x:v>{{baseUrl}}/api/fines/statistics</x:v>
      </x:c>
      <x:c r="F26" s="96" t="str">
        <x:v>后端已启动；管理员已登录</x:v>
      </x:c>
      <x:c r="G26" s="96" t="str">
        <x:v>无</x:v>
      </x:c>
      <x:c r="H26" s="96" t="str">
        <x:v>罚款统计成功</x:v>
      </x:c>
      <x:c r="I26" s="104" t="str">
        <x:v>与预期一致</x:v>
      </x:c>
      <x:c r="J26" s="108" t="str">
        <x:v>PASS</x:v>
      </x:c>
    </x:row>
    <x:row r="27" ht="42" customHeight="1">
      <x:c r="A27" s="103" t="str">
        <x:v>TC-ADM-009</x:v>
      </x:c>
      <x:c r="B27" s="104" t="str">
        <x:v>管理端查询</x:v>
      </x:c>
      <x:c r="C27" s="96" t="str">
        <x:v>评论管理列表</x:v>
      </x:c>
      <x:c r="D27" s="104" t="str">
        <x:v>GET</x:v>
      </x:c>
      <x:c r="E27" s="96" t="str">
        <x:v>{{baseUrl}}/api/reviews/admin?page=1&amp;size=10</x:v>
      </x:c>
      <x:c r="F27" s="96" t="str">
        <x:v>后端已启动；管理员已登录</x:v>
      </x:c>
      <x:c r="G27" s="96" t="str">
        <x:v>无</x:v>
      </x:c>
      <x:c r="H27" s="96" t="str">
        <x:v>评论管理接口成功</x:v>
      </x:c>
      <x:c r="I27" s="104" t="str">
        <x:v>与预期一致</x:v>
      </x:c>
      <x:c r="J27" s="108" t="str">
        <x:v>PASS</x:v>
      </x:c>
    </x:row>
    <x:row r="28" ht="42" customHeight="1">
      <x:c r="A28" s="103" t="str">
        <x:v>TC-ADM-010</x:v>
      </x:c>
      <x:c r="B28" s="104" t="str">
        <x:v>管理端查询</x:v>
      </x:c>
      <x:c r="C28" s="96" t="str">
        <x:v>操作日志</x:v>
      </x:c>
      <x:c r="D28" s="104" t="str">
        <x:v>GET</x:v>
      </x:c>
      <x:c r="E28" s="96" t="str">
        <x:v>{{baseUrl}}/api/logs?page=1&amp;size=10</x:v>
      </x:c>
      <x:c r="F28" s="96" t="str">
        <x:v>后端已启动；管理员已登录</x:v>
      </x:c>
      <x:c r="G28" s="96" t="str">
        <x:v>无</x:v>
      </x:c>
      <x:c r="H28" s="96" t="str">
        <x:v>操作日志接口成功</x:v>
      </x:c>
      <x:c r="I28" s="104" t="str">
        <x:v>与预期一致</x:v>
      </x:c>
      <x:c r="J28" s="108" t="str">
        <x:v>PASS</x:v>
      </x:c>
    </x:row>
    <x:row r="29" ht="42" customHeight="1">
      <x:c r="A29" s="103" t="str">
        <x:v>TC-ADM-011</x:v>
      </x:c>
      <x:c r="B29" s="104" t="str">
        <x:v>管理端查询</x:v>
      </x:c>
      <x:c r="C29" s="96" t="str">
        <x:v>借阅记录 Excel 导出</x:v>
      </x:c>
      <x:c r="D29" s="104" t="str">
        <x:v>GET</x:v>
      </x:c>
      <x:c r="E29" s="96" t="str">
        <x:v>{{baseUrl}}/api/borrows/export?page=1&amp;size=10</x:v>
      </x:c>
      <x:c r="F29" s="96" t="str">
        <x:v>后端已启动；管理员已登录</x:v>
      </x:c>
      <x:c r="G29" s="96" t="str">
        <x:v>无</x:v>
      </x:c>
      <x:c r="H29" s="96" t="str">
        <x:v>导出成功且为 Excel</x:v>
      </x:c>
      <x:c r="I29" s="104" t="str">
        <x:v>与预期一致</x:v>
      </x:c>
      <x:c r="J29" s="108" t="str">
        <x:v>PASS</x:v>
      </x:c>
    </x:row>
    <x:row r="30" ht="42" customHeight="1">
      <x:c r="A30" s="103" t="str">
        <x:v>TC-BIZ-001</x:v>
      </x:c>
      <x:c r="B30" s="104" t="str">
        <x:v>CRUD 与业务闭环</x:v>
      </x:c>
      <x:c r="C30" s="96" t="str">
        <x:v>创建测试分类</x:v>
      </x:c>
      <x:c r="D30" s="104" t="str">
        <x:v>POST</x:v>
      </x:c>
      <x:c r="E30" s="96" t="str">
        <x:v>{{baseUrl}}/api/categories</x:v>
      </x:c>
      <x:c r="F30" s="96" t="str">
        <x:v>后端已启动；管理员已登录</x:v>
      </x:c>
      <x:c r="G30" s="96" t="str">
        <x:v>{ "name": "{{testCategoryName}}", "description": "Postman 自动化测试分类", "sortOrder": 999 }</x:v>
      </x:c>
      <x:c r="H30" s="96" t="str">
        <x:v>分类创建成功</x:v>
      </x:c>
      <x:c r="I30" s="104" t="str">
        <x:v>与预期一致</x:v>
      </x:c>
      <x:c r="J30" s="108" t="str">
        <x:v>PASS</x:v>
      </x:c>
    </x:row>
    <x:row r="31" ht="42" customHeight="1">
      <x:c r="A31" s="103" t="str">
        <x:v>TC-BIZ-002</x:v>
      </x:c>
      <x:c r="B31" s="104" t="str">
        <x:v>CRUD 与业务闭环</x:v>
      </x:c>
      <x:c r="C31" s="96" t="str">
        <x:v>更新测试分类</x:v>
      </x:c>
      <x:c r="D31" s="104" t="str">
        <x:v>PUT</x:v>
      </x:c>
      <x:c r="E31" s="96" t="str">
        <x:v>{{baseUrl}}/api/categories/{{testCategoryId}}</x:v>
      </x:c>
      <x:c r="F31" s="96" t="str">
        <x:v>后端已启动；管理员已登录</x:v>
      </x:c>
      <x:c r="G31" s="96" t="str">
        <x:v>{ "name": "{{testCategoryName}}", "description": "Postman 自动化测试分类（已更新）", "sortOrder": 998 }</x:v>
      </x:c>
      <x:c r="H31" s="96" t="str">
        <x:v>分类更新成功</x:v>
      </x:c>
      <x:c r="I31" s="104" t="str">
        <x:v>与预期一致</x:v>
      </x:c>
      <x:c r="J31" s="108" t="str">
        <x:v>PASS</x:v>
      </x:c>
    </x:row>
    <x:row r="32" ht="42" customHeight="1">
      <x:c r="A32" s="103" t="str">
        <x:v>TC-BIZ-003</x:v>
      </x:c>
      <x:c r="B32" s="104" t="str">
        <x:v>CRUD 与业务闭环</x:v>
      </x:c>
      <x:c r="C32" s="96" t="str">
        <x:v>非法图书参数校验</x:v>
      </x:c>
      <x:c r="D32" s="104" t="str">
        <x:v>POST</x:v>
      </x:c>
      <x:c r="E32" s="96" t="str">
        <x:v>{{baseUrl}}/api/books</x:v>
      </x:c>
      <x:c r="F32" s="96" t="str">
        <x:v>后端已启动；管理员已登录</x:v>
      </x:c>
      <x:c r="G32" s="96" t="str">
        <x:v>{ "title": "", "totalCount": -1 }</x:v>
      </x:c>
      <x:c r="H32" s="96" t="str">
        <x:v>非法图书参数返回 400</x:v>
      </x:c>
      <x:c r="I32" s="104" t="str">
        <x:v>与预期一致</x:v>
      </x:c>
      <x:c r="J32" s="108" t="str">
        <x:v>PASS</x:v>
      </x:c>
    </x:row>
    <x:row r="33" ht="42" customHeight="1">
      <x:c r="A33" s="103" t="str">
        <x:v>TC-BIZ-004</x:v>
      </x:c>
      <x:c r="B33" s="104" t="str">
        <x:v>CRUD 与业务闭环</x:v>
      </x:c>
      <x:c r="C33" s="96" t="str">
        <x:v>创建库存为 1 的测试图书</x:v>
      </x:c>
      <x:c r="D33" s="104" t="str">
        <x:v>POST</x:v>
      </x:c>
      <x:c r="E33" s="96" t="str">
        <x:v>{{baseUrl}}/api/books</x:v>
      </x:c>
      <x:c r="F33" s="96" t="str">
        <x:v>后端已启动；管理员已登录</x:v>
      </x:c>
      <x:c r="G33" s="96" t="str">
        <x:v>{ "isbn": "{{testIsbn}}", "title": "Postman自动化测试图书", "author": "Codex", "publisher": "测试出版社", "publishDate": "2025-01-01", "categoryId": {{testCategoryId}}, "price": 88.00, "tot...</x:v>
      </x:c>
      <x:c r="H33" s="96" t="str">
        <x:v>测试图书创建成功</x:v>
      </x:c>
      <x:c r="I33" s="104" t="str">
        <x:v>与预期一致</x:v>
      </x:c>
      <x:c r="J33" s="108" t="str">
        <x:v>PASS</x:v>
      </x:c>
    </x:row>
    <x:row r="34" ht="42" customHeight="1">
      <x:c r="A34" s="103" t="str">
        <x:v>TC-BIZ-005</x:v>
      </x:c>
      <x:c r="B34" s="104" t="str">
        <x:v>CRUD 与业务闭环</x:v>
      </x:c>
      <x:c r="C34" s="96" t="str">
        <x:v>更新测试图书</x:v>
      </x:c>
      <x:c r="D34" s="104" t="str">
        <x:v>PUT</x:v>
      </x:c>
      <x:c r="E34" s="96" t="str">
        <x:v>{{baseUrl}}/api/books/{{testBookId}}</x:v>
      </x:c>
      <x:c r="F34" s="96" t="str">
        <x:v>后端已启动；管理员已登录</x:v>
      </x:c>
      <x:c r="G34" s="96" t="str">
        <x:v>{ "isbn": "{{testIsbn}}", "title": "Postman自动化测试图书（已更新）", "author": "Codex", "publisher": "测试出版社", "publishDate": "2025-01-01", "categoryId": {{testCategoryId}}, "price": 99.00,...</x:v>
      </x:c>
      <x:c r="H34" s="96" t="str">
        <x:v>测试图书更新成功</x:v>
      </x:c>
      <x:c r="I34" s="104" t="str">
        <x:v>与预期一致</x:v>
      </x:c>
      <x:c r="J34" s="108" t="str">
        <x:v>PASS</x:v>
      </x:c>
    </x:row>
    <x:row r="35" ht="42" customHeight="1">
      <x:c r="A35" s="103" t="str">
        <x:v>TC-BIZ-006</x:v>
      </x:c>
      <x:c r="B35" s="104" t="str">
        <x:v>CRUD 与业务闭环</x:v>
      </x:c>
      <x:c r="C35" s="96" t="str">
        <x:v>user1 借阅测试图书</x:v>
      </x:c>
      <x:c r="D35" s="104" t="str">
        <x:v>POST</x:v>
      </x:c>
      <x:c r="E35" s="96" t="str">
        <x:v>{{baseUrl}}/api/borrows</x:v>
      </x:c>
      <x:c r="F35" s="96" t="str">
        <x:v>后端已启动；user1 已登录</x:v>
      </x:c>
      <x:c r="G35" s="96" t="str">
        <x:v>{ "bookId": {{testBookId}}, "days": 7 }</x:v>
      </x:c>
      <x:c r="H35" s="96" t="str">
        <x:v>user1 借阅成功</x:v>
      </x:c>
      <x:c r="I35" s="104" t="str">
        <x:v>与预期一致</x:v>
      </x:c>
      <x:c r="J35" s="108" t="str">
        <x:v>PASS</x:v>
      </x:c>
    </x:row>
    <x:row r="36" ht="42" customHeight="1">
      <x:c r="A36" s="103" t="str">
        <x:v>TC-BIZ-007</x:v>
      </x:c>
      <x:c r="B36" s="104" t="str">
        <x:v>CRUD 与业务闭环</x:v>
      </x:c>
      <x:c r="C36" s="96" t="str">
        <x:v>重复借阅被拦截</x:v>
      </x:c>
      <x:c r="D36" s="104" t="str">
        <x:v>POST</x:v>
      </x:c>
      <x:c r="E36" s="96" t="str">
        <x:v>{{baseUrl}}/api/borrows</x:v>
      </x:c>
      <x:c r="F36" s="96" t="str">
        <x:v>后端已启动；user1 已登录</x:v>
      </x:c>
      <x:c r="G36" s="96" t="str">
        <x:v>{ "bookId": {{testBookId}}, "days": 7 }</x:v>
      </x:c>
      <x:c r="H36" s="96" t="str">
        <x:v>重复借阅返回业务错误</x:v>
      </x:c>
      <x:c r="I36" s="104" t="str">
        <x:v>与预期一致</x:v>
      </x:c>
      <x:c r="J36" s="108" t="str">
        <x:v>PASS</x:v>
      </x:c>
    </x:row>
    <x:row r="37" ht="42" customHeight="1">
      <x:c r="A37" s="103" t="str">
        <x:v>TC-BIZ-008</x:v>
      </x:c>
      <x:c r="B37" s="104" t="str">
        <x:v>CRUD 与业务闭环</x:v>
      </x:c>
      <x:c r="C37" s="96" t="str">
        <x:v>user1 续借</x:v>
      </x:c>
      <x:c r="D37" s="104" t="str">
        <x:v>POST</x:v>
      </x:c>
      <x:c r="E37" s="96" t="str">
        <x:v>{{baseUrl}}/api/borrows/{{firstBorrowId}}/renew</x:v>
      </x:c>
      <x:c r="F37" s="96" t="str">
        <x:v>后端已启动；user1 已登录</x:v>
      </x:c>
      <x:c r="G37" s="96" t="str">
        <x:v>无</x:v>
      </x:c>
      <x:c r="H37" s="96" t="str">
        <x:v>续借成功且次数增加</x:v>
      </x:c>
      <x:c r="I37" s="104" t="str">
        <x:v>与预期一致</x:v>
      </x:c>
      <x:c r="J37" s="108" t="str">
        <x:v>PASS</x:v>
      </x:c>
    </x:row>
    <x:row r="38" ht="42" customHeight="1">
      <x:c r="A38" s="103" t="str">
        <x:v>TC-BIZ-009</x:v>
      </x:c>
      <x:c r="B38" s="104" t="str">
        <x:v>CRUD 与业务闭环</x:v>
      </x:c>
      <x:c r="C38" s="96" t="str">
        <x:v>kerry 预约无库存图书</x:v>
      </x:c>
      <x:c r="D38" s="104" t="str">
        <x:v>POST</x:v>
      </x:c>
      <x:c r="E38" s="96" t="str">
        <x:v>{{baseUrl}}/api/reservations/{{testBookId}}</x:v>
      </x:c>
      <x:c r="F38" s="96" t="str">
        <x:v>后端已启动；kerry 已登录</x:v>
      </x:c>
      <x:c r="G38" s="96" t="str">
        <x:v>无</x:v>
      </x:c>
      <x:c r="H38" s="96" t="str">
        <x:v>无库存时预约成功</x:v>
      </x:c>
      <x:c r="I38" s="104" t="str">
        <x:v>与预期一致</x:v>
      </x:c>
      <x:c r="J38" s="108" t="str">
        <x:v>PASS</x:v>
      </x:c>
    </x:row>
    <x:row r="39" ht="42" customHeight="1">
      <x:c r="A39" s="103" t="str">
        <x:v>TC-BIZ-010</x:v>
      </x:c>
      <x:c r="B39" s="104" t="str">
        <x:v>CRUD 与业务闭环</x:v>
      </x:c>
      <x:c r="C39" s="96" t="str">
        <x:v>预约队列查询</x:v>
      </x:c>
      <x:c r="D39" s="104" t="str">
        <x:v>GET</x:v>
      </x:c>
      <x:c r="E39" s="96" t="str">
        <x:v>{{baseUrl}}/api/reservations/queue/{{testBookId}}</x:v>
      </x:c>
      <x:c r="F39" s="96" t="str">
        <x:v>后端已启动；kerry 已登录</x:v>
      </x:c>
      <x:c r="G39" s="96" t="str">
        <x:v>无</x:v>
      </x:c>
      <x:c r="H39" s="96" t="str">
        <x:v>预约队列至少 1 人</x:v>
      </x:c>
      <x:c r="I39" s="104" t="str">
        <x:v>与预期一致</x:v>
      </x:c>
      <x:c r="J39" s="108" t="str">
        <x:v>PASS</x:v>
      </x:c>
    </x:row>
    <x:row r="40" ht="42" customHeight="1">
      <x:c r="A40" s="103" t="str">
        <x:v>TC-BIZ-011</x:v>
      </x:c>
      <x:c r="B40" s="104" t="str">
        <x:v>CRUD 与业务闭环</x:v>
      </x:c>
      <x:c r="C40" s="96" t="str">
        <x:v>user1 归还并触发预约通知</x:v>
      </x:c>
      <x:c r="D40" s="104" t="str">
        <x:v>POST</x:v>
      </x:c>
      <x:c r="E40" s="96" t="str">
        <x:v>{{baseUrl}}/api/borrows/{{firstBorrowId}}/return</x:v>
      </x:c>
      <x:c r="F40" s="96" t="str">
        <x:v>后端已启动；user1 已登录</x:v>
      </x:c>
      <x:c r="G40" s="96" t="str">
        <x:v>无</x:v>
      </x:c>
      <x:c r="H40" s="96" t="str">
        <x:v>user1 归还成功</x:v>
      </x:c>
      <x:c r="I40" s="104" t="str">
        <x:v>与预期一致</x:v>
      </x:c>
      <x:c r="J40" s="108" t="str">
        <x:v>PASS</x:v>
      </x:c>
    </x:row>
    <x:row r="41" ht="42" customHeight="1">
      <x:c r="A41" s="103" t="str">
        <x:v>TC-BIZ-012</x:v>
      </x:c>
      <x:c r="B41" s="104" t="str">
        <x:v>CRUD 与业务闭环</x:v>
      </x:c>
      <x:c r="C41" s="96" t="str">
        <x:v>kerry 收到图书可借通知</x:v>
      </x:c>
      <x:c r="D41" s="104" t="str">
        <x:v>GET</x:v>
      </x:c>
      <x:c r="E41" s="96" t="str">
        <x:v>{{baseUrl}}/api/notifications?page=0&amp;size=20</x:v>
      </x:c>
      <x:c r="F41" s="96" t="str">
        <x:v>后端已启动；kerry 已登录</x:v>
      </x:c>
      <x:c r="G41" s="96" t="str">
        <x:v>无</x:v>
      </x:c>
      <x:c r="H41" s="96" t="str">
        <x:v>通知接口成功；存在测试图书相关通知</x:v>
      </x:c>
      <x:c r="I41" s="104" t="str">
        <x:v>与预期一致</x:v>
      </x:c>
      <x:c r="J41" s="108" t="str">
        <x:v>PASS</x:v>
      </x:c>
    </x:row>
    <x:row r="42" ht="42" customHeight="1">
      <x:c r="A42" s="103" t="str">
        <x:v>TC-BIZ-013</x:v>
      </x:c>
      <x:c r="B42" s="104" t="str">
        <x:v>CRUD 与业务闭环</x:v>
      </x:c>
      <x:c r="C42" s="96" t="str">
        <x:v>kerry 履约借阅</x:v>
      </x:c>
      <x:c r="D42" s="104" t="str">
        <x:v>POST</x:v>
      </x:c>
      <x:c r="E42" s="96" t="str">
        <x:v>{{baseUrl}}/api/borrows</x:v>
      </x:c>
      <x:c r="F42" s="96" t="str">
        <x:v>后端已启动；kerry 已登录</x:v>
      </x:c>
      <x:c r="G42" s="96" t="str">
        <x:v>{ "bookId": {{testBookId}}, "days": 7 }</x:v>
      </x:c>
      <x:c r="H42" s="96" t="str">
        <x:v>预约用户借阅成功</x:v>
      </x:c>
      <x:c r="I42" s="104" t="str">
        <x:v>与预期一致</x:v>
      </x:c>
      <x:c r="J42" s="108" t="str">
        <x:v>PASS</x:v>
      </x:c>
    </x:row>
    <x:row r="43" ht="42" customHeight="1">
      <x:c r="A43" s="103" t="str">
        <x:v>TC-BIZ-014</x:v>
      </x:c>
      <x:c r="B43" s="104" t="str">
        <x:v>CRUD 与业务闭环</x:v>
      </x:c>
      <x:c r="C43" s="96" t="str">
        <x:v>kerry 归还</x:v>
      </x:c>
      <x:c r="D43" s="104" t="str">
        <x:v>POST</x:v>
      </x:c>
      <x:c r="E43" s="96" t="str">
        <x:v>{{baseUrl}}/api/borrows/{{secondBorrowId}}/return</x:v>
      </x:c>
      <x:c r="F43" s="96" t="str">
        <x:v>后端已启动；kerry 已登录</x:v>
      </x:c>
      <x:c r="G43" s="96" t="str">
        <x:v>无</x:v>
      </x:c>
      <x:c r="H43" s="96" t="str">
        <x:v>kerry 归还成功</x:v>
      </x:c>
      <x:c r="I43" s="104" t="str">
        <x:v>与预期一致</x:v>
      </x:c>
      <x:c r="J43" s="108" t="str">
        <x:v>PASS</x:v>
      </x:c>
    </x:row>
    <x:row r="44" ht="42" customHeight="1">
      <x:c r="A44" s="103" t="str">
        <x:v>TC-BIZ-015</x:v>
      </x:c>
      <x:c r="B44" s="104" t="str">
        <x:v>CRUD 与业务闭环</x:v>
      </x:c>
      <x:c r="C44" s="96" t="str">
        <x:v>user1 收藏测试图书</x:v>
      </x:c>
      <x:c r="D44" s="104" t="str">
        <x:v>POST</x:v>
      </x:c>
      <x:c r="E44" s="96" t="str">
        <x:v>{{baseUrl}}/api/favorites/{{testBookId}}</x:v>
      </x:c>
      <x:c r="F44" s="96" t="str">
        <x:v>后端已启动；user1 已登录</x:v>
      </x:c>
      <x:c r="G44" s="96" t="str">
        <x:v>{ "remark": "Postman 自动化测试收藏" }</x:v>
      </x:c>
      <x:c r="H44" s="96" t="str">
        <x:v>收藏成功</x:v>
      </x:c>
      <x:c r="I44" s="104" t="str">
        <x:v>与预期一致</x:v>
      </x:c>
      <x:c r="J44" s="108" t="str">
        <x:v>PASS</x:v>
      </x:c>
    </x:row>
    <x:row r="45" ht="42" customHeight="1">
      <x:c r="A45" s="103" t="str">
        <x:v>TC-BIZ-016</x:v>
      </x:c>
      <x:c r="B45" s="104" t="str">
        <x:v>CRUD 与业务闭环</x:v>
      </x:c>
      <x:c r="C45" s="96" t="str">
        <x:v>收藏状态与数量</x:v>
      </x:c>
      <x:c r="D45" s="104" t="str">
        <x:v>GET</x:v>
      </x:c>
      <x:c r="E45" s="96" t="str">
        <x:v>{{baseUrl}}/api/favorites/check/{{testBookId}}</x:v>
      </x:c>
      <x:c r="F45" s="96" t="str">
        <x:v>后端已启动；user1 已登录</x:v>
      </x:c>
      <x:c r="G45" s="96" t="str">
        <x:v>无</x:v>
      </x:c>
      <x:c r="H45" s="96" t="str">
        <x:v>收藏状态为 true</x:v>
      </x:c>
      <x:c r="I45" s="104" t="str">
        <x:v>与预期一致</x:v>
      </x:c>
      <x:c r="J45" s="108" t="str">
        <x:v>PASS</x:v>
      </x:c>
    </x:row>
    <x:row r="46" ht="42" customHeight="1">
      <x:c r="A46" s="103" t="str">
        <x:v>TC-BIZ-017</x:v>
      </x:c>
      <x:c r="B46" s="104" t="str">
        <x:v>CRUD 与业务闭环</x:v>
      </x:c>
      <x:c r="C46" s="96" t="str">
        <x:v>user1 评论已借阅图书</x:v>
      </x:c>
      <x:c r="D46" s="104" t="str">
        <x:v>POST</x:v>
      </x:c>
      <x:c r="E46" s="96" t="str">
        <x:v>{{baseUrl}}/api/reviews</x:v>
      </x:c>
      <x:c r="F46" s="96" t="str">
        <x:v>后端已启动；user1 已登录</x:v>
      </x:c>
      <x:c r="G46" s="96" t="str">
        <x:v>{ "bookId": {{testBookId}}, "rating": 5, "content": "Postman 自动化测试评论：借阅流程完整。" }</x:v>
      </x:c>
      <x:c r="H46" s="96" t="str">
        <x:v>评论创建成功</x:v>
      </x:c>
      <x:c r="I46" s="104" t="str">
        <x:v>与预期一致</x:v>
      </x:c>
      <x:c r="J46" s="108" t="str">
        <x:v>PASS</x:v>
      </x:c>
    </x:row>
    <x:row r="47" ht="42" customHeight="1">
      <x:c r="A47" s="103" t="str">
        <x:v>TC-BIZ-018</x:v>
      </x:c>
      <x:c r="B47" s="104" t="str">
        <x:v>CRUD 与业务闭环</x:v>
      </x:c>
      <x:c r="C47" s="96" t="str">
        <x:v>点赞评论</x:v>
      </x:c>
      <x:c r="D47" s="104" t="str">
        <x:v>POST</x:v>
      </x:c>
      <x:c r="E47" s="96" t="str">
        <x:v>{{baseUrl}}/api/reviews/{{reviewId}}/like</x:v>
      </x:c>
      <x:c r="F47" s="96" t="str">
        <x:v>后端已启动；kerry 已登录</x:v>
      </x:c>
      <x:c r="G47" s="96" t="str">
        <x:v>无</x:v>
      </x:c>
      <x:c r="H47" s="96" t="str">
        <x:v>点赞接口成功</x:v>
      </x:c>
      <x:c r="I47" s="104" t="str">
        <x:v>与预期一致</x:v>
      </x:c>
      <x:c r="J47" s="108" t="str">
        <x:v>PASS</x:v>
      </x:c>
    </x:row>
    <x:row r="48" ht="42" customHeight="1">
      <x:c r="A48" s="103" t="str">
        <x:v>TC-BIZ-019</x:v>
      </x:c>
      <x:c r="B48" s="104" t="str">
        <x:v>CRUD 与业务闭环</x:v>
      </x:c>
      <x:c r="C48" s="96" t="str">
        <x:v>图书评论列表包含测试评论</x:v>
      </x:c>
      <x:c r="D48" s="104" t="str">
        <x:v>GET</x:v>
      </x:c>
      <x:c r="E48" s="96" t="str">
        <x:v>{{baseUrl}}/api/reviews/book/{{testBookId}}?page=1&amp;size=10</x:v>
      </x:c>
      <x:c r="F48" s="96" t="str">
        <x:v>后端已启动；user1 已登录</x:v>
      </x:c>
      <x:c r="G48" s="96" t="str">
        <x:v>无</x:v>
      </x:c>
      <x:c r="H48" s="96" t="str">
        <x:v>图书评论列表包含测试评论</x:v>
      </x:c>
      <x:c r="I48" s="104" t="str">
        <x:v>与预期一致</x:v>
      </x:c>
      <x:c r="J48" s="108" t="str">
        <x:v>PASS</x:v>
      </x:c>
    </x:row>
    <x:row r="49" ht="42" customHeight="1">
      <x:c r="A49" s="103" t="str">
        <x:v>TC-BIZ-020</x:v>
      </x:c>
      <x:c r="B49" s="104" t="str">
        <x:v>CRUD 与业务闭环</x:v>
      </x:c>
      <x:c r="C49" s="96" t="str">
        <x:v>用户端综合查询</x:v>
      </x:c>
      <x:c r="D49" s="104" t="str">
        <x:v>GET</x:v>
      </x:c>
      <x:c r="E49" s="96" t="str">
        <x:v>{{baseUrl}}/api/fines/me?page=1&amp;size=10</x:v>
      </x:c>
      <x:c r="F49" s="96" t="str">
        <x:v>后端已启动；user1 已登录</x:v>
      </x:c>
      <x:c r="G49" s="96" t="str">
        <x:v>无</x:v>
      </x:c>
      <x:c r="H49" s="96" t="str">
        <x:v>我的罚款接口成功</x:v>
      </x:c>
      <x:c r="I49" s="104" t="str">
        <x:v>与预期一致</x:v>
      </x:c>
      <x:c r="J49" s="108" t="str">
        <x:v>PASS</x:v>
      </x:c>
    </x:row>
    <x:row r="50" ht="42" customHeight="1">
      <x:c r="A50" s="103" t="str">
        <x:v>CLN-001</x:v>
      </x:c>
      <x:c r="B50" s="104" t="str">
        <x:v>测试数据清理</x:v>
      </x:c>
      <x:c r="C50" s="96" t="str">
        <x:v>删除测试收藏</x:v>
      </x:c>
      <x:c r="D50" s="104" t="str">
        <x:v>DELETE</x:v>
      </x:c>
      <x:c r="E50" s="96" t="str">
        <x:v>/api/favorites/{testBookId}</x:v>
      </x:c>
      <x:c r="F50" s="96" t="str">
        <x:v>user1 已登录；填写本轮 testBookId</x:v>
      </x:c>
      <x:c r="G50" s="96" t="str">
        <x:v>路径参数：testBookId</x:v>
      </x:c>
      <x:c r="H50" s="96" t="str">
        <x:v>HTTP 200，业务码为 0，收藏删除成功</x:v>
      </x:c>
      <x:c r="I50" s="104" t="str">
        <x:v>已验证</x:v>
      </x:c>
      <x:c r="J50" s="108" t="str">
        <x:v>PASS</x:v>
      </x:c>
    </x:row>
    <x:row r="51" ht="42" customHeight="1">
      <x:c r="A51" s="103" t="str">
        <x:v>CLN-002</x:v>
      </x:c>
      <x:c r="B51" s="104" t="str">
        <x:v>测试数据清理</x:v>
      </x:c>
      <x:c r="C51" s="96" t="str">
        <x:v>删除测试评论</x:v>
      </x:c>
      <x:c r="D51" s="104" t="str">
        <x:v>DELETE</x:v>
      </x:c>
      <x:c r="E51" s="96" t="str">
        <x:v>/api/reviews/{reviewId}</x:v>
      </x:c>
      <x:c r="F51" s="96" t="str">
        <x:v>user1 已登录；填写本轮 reviewId</x:v>
      </x:c>
      <x:c r="G51" s="96" t="str">
        <x:v>路径参数：reviewId</x:v>
      </x:c>
      <x:c r="H51" s="96" t="str">
        <x:v>HTTP 200，业务码为 0，评论删除成功</x:v>
      </x:c>
      <x:c r="I51" s="104" t="str">
        <x:v>已验证</x:v>
      </x:c>
      <x:c r="J51" s="108" t="str">
        <x:v>PASS</x:v>
      </x:c>
    </x:row>
    <x:row r="52" ht="42" customHeight="1">
      <x:c r="A52" s="103" t="str">
        <x:v>CLN-003</x:v>
      </x:c>
      <x:c r="B52" s="104" t="str">
        <x:v>删除保护</x:v>
      </x:c>
      <x:c r="C52" s="96" t="str">
        <x:v>验证图书引用保护</x:v>
      </x:c>
      <x:c r="D52" s="104" t="str">
        <x:v>DELETE</x:v>
      </x:c>
      <x:c r="E52" s="96" t="str">
        <x:v>/api/books/{testBookId}</x:v>
      </x:c>
      <x:c r="F52" s="96" t="str">
        <x:v>管理员已登录；图书存在借阅历史</x:v>
      </x:c>
      <x:c r="G52" s="96" t="str">
        <x:v>路径参数：testBookId</x:v>
      </x:c>
      <x:c r="H52" s="96" t="str">
        <x:v>HTTP 409，业务码 411，禁止删除被引用图书</x:v>
      </x:c>
      <x:c r="I52" s="104" t="str">
        <x:v>已验证</x:v>
      </x:c>
      <x:c r="J52" s="108" t="str">
        <x:v>PASS</x:v>
      </x:c>
    </x:row>
    <x:row r="53" ht="42" customHeight="1">
      <x:c r="A53" s="105" t="str">
        <x:v>CLN-004</x:v>
      </x:c>
      <x:c r="B53" s="106" t="str">
        <x:v>删除保护</x:v>
      </x:c>
      <x:c r="C53" s="99" t="str">
        <x:v>验证分类非空保护</x:v>
      </x:c>
      <x:c r="D53" s="106" t="str">
        <x:v>DELETE</x:v>
      </x:c>
      <x:c r="E53" s="99" t="str">
        <x:v>/api/categories/{testCategoryId}</x:v>
      </x:c>
      <x:c r="F53" s="99" t="str">
        <x:v>管理员已登录；分类下仍有图书</x:v>
      </x:c>
      <x:c r="G53" s="99" t="str">
        <x:v>路径参数：testCategoryId</x:v>
      </x:c>
      <x:c r="H53" s="99" t="str">
        <x:v>HTTP 200，业务码 2203，禁止删除非空分类</x:v>
      </x:c>
      <x:c r="I53" s="106" t="str">
        <x:v>已验证</x:v>
      </x:c>
      <x:c r="J53" s="109" t="str">
        <x:v>PASS</x:v>
      </x:c>
    </x:row>
  </x:sheetData>
  <x:conditionalFormatting sqref="J2:J5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T RUN"/>
  </x:conditionalFormatting>
  <x:dataValidations count="1">
    <x:dataValidation type="list" sqref="J2:J53">
      <x:formula1>"PASS,FAIL,NOT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923503a35a4c97"/>
  </x:tableParts>
</x:worksheet>
</file>